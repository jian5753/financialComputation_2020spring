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8" activeTab="2"/>
  </bookViews>
  <sheets>
    <sheet name="Hw1" sheetId="1" r:id="rId1"/>
    <sheet name="Call" sheetId="5" r:id="rId2"/>
    <sheet name="checkByCall_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3" l="1"/>
  <c r="F11" i="3"/>
  <c r="F3" i="3"/>
  <c r="F4" i="5" l="1"/>
  <c r="F6" i="5" s="1"/>
  <c r="F3" i="5"/>
  <c r="F5" i="5" s="1"/>
  <c r="J10" i="3"/>
  <c r="F10" i="3"/>
  <c r="G10" i="3" s="1"/>
  <c r="F9" i="3"/>
  <c r="G9" i="3" s="1"/>
  <c r="F8" i="3"/>
  <c r="G8" i="3" s="1"/>
  <c r="F7" i="3"/>
  <c r="G7" i="3" s="1"/>
  <c r="F6" i="3"/>
  <c r="G6" i="3" s="1"/>
  <c r="F5" i="3"/>
  <c r="G5" i="3" s="1"/>
  <c r="F4" i="3"/>
  <c r="G4" i="3" s="1"/>
  <c r="G3" i="3"/>
  <c r="J10" i="1"/>
  <c r="F7" i="1"/>
  <c r="G7" i="1" s="1"/>
  <c r="F6" i="1"/>
  <c r="G6" i="1" s="1"/>
  <c r="F3" i="1"/>
  <c r="G3" i="1" s="1"/>
  <c r="F5" i="1"/>
  <c r="G5" i="1" s="1"/>
  <c r="F9" i="1"/>
  <c r="G9" i="1" s="1"/>
  <c r="F8" i="1"/>
  <c r="G8" i="1" s="1"/>
  <c r="F10" i="1"/>
  <c r="G10" i="1" s="1"/>
  <c r="F4" i="1"/>
  <c r="G4" i="1" s="1"/>
  <c r="F8" i="5" l="1"/>
  <c r="J7" i="3"/>
  <c r="C19" i="3" s="1"/>
  <c r="J4" i="3"/>
  <c r="E16" i="3" s="1"/>
  <c r="J5" i="3"/>
  <c r="C18" i="3" s="1"/>
  <c r="J6" i="3"/>
  <c r="C15" i="3" s="1"/>
  <c r="J3" i="3"/>
  <c r="C16" i="3" s="1"/>
  <c r="J6" i="1"/>
  <c r="C15" i="1" s="1"/>
  <c r="J7" i="1"/>
  <c r="C19" i="1" s="1"/>
  <c r="J4" i="1"/>
  <c r="E16" i="1" s="1"/>
  <c r="J5" i="1"/>
  <c r="J3" i="1"/>
  <c r="C16" i="1" s="1"/>
  <c r="C17" i="3" l="1"/>
  <c r="E17" i="3" s="1"/>
  <c r="E15" i="3"/>
  <c r="C22" i="3" s="1"/>
  <c r="E17" i="1"/>
  <c r="C18" i="1"/>
  <c r="C17" i="1"/>
  <c r="E15" i="1"/>
  <c r="C22" i="1" l="1"/>
</calcChain>
</file>

<file path=xl/sharedStrings.xml><?xml version="1.0" encoding="utf-8"?>
<sst xmlns="http://schemas.openxmlformats.org/spreadsheetml/2006/main" count="87" uniqueCount="45">
  <si>
    <t>Parameters</t>
    <phoneticPr fontId="1" type="noConversion"/>
  </si>
  <si>
    <t>S_0</t>
    <phoneticPr fontId="1" type="noConversion"/>
  </si>
  <si>
    <t>r</t>
    <phoneticPr fontId="1" type="noConversion"/>
  </si>
  <si>
    <t>q</t>
    <phoneticPr fontId="1" type="noConversion"/>
  </si>
  <si>
    <t>sigma</t>
    <phoneticPr fontId="1" type="noConversion"/>
  </si>
  <si>
    <t>T</t>
    <phoneticPr fontId="1" type="noConversion"/>
  </si>
  <si>
    <t>K_1</t>
    <phoneticPr fontId="1" type="noConversion"/>
  </si>
  <si>
    <t>K_2</t>
    <phoneticPr fontId="1" type="noConversion"/>
  </si>
  <si>
    <t>K_3</t>
    <phoneticPr fontId="1" type="noConversion"/>
  </si>
  <si>
    <t>K_4</t>
    <phoneticPr fontId="1" type="noConversion"/>
  </si>
  <si>
    <t>Ndiq</t>
    <phoneticPr fontId="1" type="noConversion"/>
  </si>
  <si>
    <t>D1q</t>
    <phoneticPr fontId="1" type="noConversion"/>
  </si>
  <si>
    <t>D2q</t>
    <phoneticPr fontId="1" type="noConversion"/>
  </si>
  <si>
    <t>D3q</t>
    <phoneticPr fontId="1" type="noConversion"/>
  </si>
  <si>
    <t>D4q</t>
    <phoneticPr fontId="1" type="noConversion"/>
  </si>
  <si>
    <t>D1r</t>
    <phoneticPr fontId="1" type="noConversion"/>
  </si>
  <si>
    <t>D2r</t>
    <phoneticPr fontId="1" type="noConversion"/>
  </si>
  <si>
    <t>D3r</t>
    <phoneticPr fontId="1" type="noConversion"/>
  </si>
  <si>
    <t>D4r</t>
    <phoneticPr fontId="1" type="noConversion"/>
  </si>
  <si>
    <t>NDi-NDj</t>
    <phoneticPr fontId="1" type="noConversion"/>
  </si>
  <si>
    <t>Nd2q-Nd1q</t>
    <phoneticPr fontId="1" type="noConversion"/>
  </si>
  <si>
    <t>Nd3q-Nd2q</t>
    <phoneticPr fontId="1" type="noConversion"/>
  </si>
  <si>
    <t>Nd34q-Nd3q</t>
    <phoneticPr fontId="1" type="noConversion"/>
  </si>
  <si>
    <t>Nd2r-Nd1r</t>
    <phoneticPr fontId="1" type="noConversion"/>
  </si>
  <si>
    <t>Nd4r-Nd3r</t>
    <phoneticPr fontId="1" type="noConversion"/>
  </si>
  <si>
    <t>In</t>
    <phoneticPr fontId="1" type="noConversion"/>
  </si>
  <si>
    <t>IA_1</t>
    <phoneticPr fontId="1" type="noConversion"/>
  </si>
  <si>
    <t>IA_2</t>
    <phoneticPr fontId="1" type="noConversion"/>
  </si>
  <si>
    <t>IA</t>
    <phoneticPr fontId="1" type="noConversion"/>
  </si>
  <si>
    <t>IB</t>
    <phoneticPr fontId="1" type="noConversion"/>
  </si>
  <si>
    <t>Diq/r</t>
    <phoneticPr fontId="1" type="noConversion"/>
  </si>
  <si>
    <t>IC_1</t>
    <phoneticPr fontId="1" type="noConversion"/>
  </si>
  <si>
    <t>IC_2</t>
    <phoneticPr fontId="1" type="noConversion"/>
  </si>
  <si>
    <t>IC_3</t>
    <phoneticPr fontId="1" type="noConversion"/>
  </si>
  <si>
    <t>S_0E(r-q)T</t>
    <phoneticPr fontId="1" type="noConversion"/>
  </si>
  <si>
    <t>IC</t>
    <phoneticPr fontId="1" type="noConversion"/>
  </si>
  <si>
    <t>Ans</t>
    <phoneticPr fontId="1" type="noConversion"/>
  </si>
  <si>
    <t>K</t>
    <phoneticPr fontId="1" type="noConversion"/>
  </si>
  <si>
    <t>Di</t>
    <phoneticPr fontId="1" type="noConversion"/>
  </si>
  <si>
    <t>d1</t>
    <phoneticPr fontId="1" type="noConversion"/>
  </si>
  <si>
    <t>d2</t>
    <phoneticPr fontId="1" type="noConversion"/>
  </si>
  <si>
    <t>CallPrice</t>
    <phoneticPr fontId="1" type="noConversion"/>
  </si>
  <si>
    <t>Nd1</t>
    <phoneticPr fontId="1" type="noConversion"/>
  </si>
  <si>
    <t>Nd2</t>
    <phoneticPr fontId="1" type="noConversion"/>
  </si>
  <si>
    <t>Nd4q-Nd3q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</si>
</sst>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0000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76" fontId="0" fillId="0" borderId="4" xfId="0" applyNumberFormat="1" applyBorder="1"/>
    <xf numFmtId="0" fontId="0" fillId="0" borderId="8" xfId="0" applyFill="1" applyBorder="1"/>
    <xf numFmtId="0" fontId="0" fillId="0" borderId="4" xfId="0" applyNumberFormat="1" applyBorder="1"/>
    <xf numFmtId="0" fontId="0" fillId="0" borderId="3" xfId="0" applyFill="1" applyBorder="1"/>
    <xf numFmtId="0" fontId="0" fillId="0" borderId="5" xfId="0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B1:J22"/>
  <sheetViews>
    <sheetView workbookViewId="0">
      <selection activeCell="K11" sqref="K11"/>
    </sheetView>
  </sheetViews>
  <sheetFormatPr defaultRowHeight="15" x14ac:dyDescent="0.3"/>
  <cols>
    <col min="1" max="2" width="11.375" bestFit="1" customWidth="1"/>
    <col min="3" max="3" width="12.75" bestFit="1" customWidth="1"/>
    <col min="4" max="4" width="6.875" customWidth="1"/>
    <col min="5" max="5" width="12.75" bestFit="1" customWidth="1"/>
    <col min="6" max="6" width="13.625" bestFit="1" customWidth="1"/>
    <col min="7" max="7" width="11.125" bestFit="1" customWidth="1"/>
    <col min="8" max="8" width="5.375" customWidth="1"/>
    <col min="9" max="9" width="12.75" bestFit="1" customWidth="1"/>
    <col min="11" max="11" width="12.5" bestFit="1" customWidth="1"/>
    <col min="12" max="12" width="13.375" bestFit="1" customWidth="1"/>
  </cols>
  <sheetData>
    <row r="1" spans="2:10" ht="15.6" thickBot="1" x14ac:dyDescent="0.35">
      <c r="H1" s="4"/>
      <c r="I1" s="4"/>
    </row>
    <row r="2" spans="2:10" ht="15.6" thickBot="1" x14ac:dyDescent="0.35">
      <c r="B2" s="9" t="s">
        <v>0</v>
      </c>
      <c r="C2" s="10"/>
      <c r="E2" s="9" t="s">
        <v>30</v>
      </c>
      <c r="F2" s="11"/>
      <c r="G2" s="10" t="s">
        <v>10</v>
      </c>
      <c r="H2" s="4"/>
      <c r="I2" s="9" t="s">
        <v>19</v>
      </c>
      <c r="J2" s="10"/>
    </row>
    <row r="3" spans="2:10" x14ac:dyDescent="0.3">
      <c r="B3" s="3" t="s">
        <v>1</v>
      </c>
      <c r="C3" s="5">
        <v>45</v>
      </c>
      <c r="E3" s="3" t="s">
        <v>11</v>
      </c>
      <c r="F3" s="4">
        <f>(LN(C8/$C$3)-($C$4-$C$5-($C$6^2)/2)*$C$7)/($C$6*$C$7^0.5)</f>
        <v>-2.1023123967563127</v>
      </c>
      <c r="G3" s="5">
        <f>NORMSDIST(F3)</f>
        <v>1.7762959676766221E-2</v>
      </c>
      <c r="H3" s="4"/>
      <c r="I3" s="3" t="s">
        <v>20</v>
      </c>
      <c r="J3" s="5">
        <f>G4-G3</f>
        <v>8.0847429205018972E-2</v>
      </c>
    </row>
    <row r="4" spans="2:10" x14ac:dyDescent="0.3">
      <c r="B4" s="3" t="s">
        <v>2</v>
      </c>
      <c r="C4" s="5">
        <v>0.2</v>
      </c>
      <c r="E4" s="3" t="s">
        <v>12</v>
      </c>
      <c r="F4" s="4">
        <f>(LN(C9/$C$3)-($C$4-$C$5-($C$6^2)/2)*$C$7)/($C$6*$C$7^0.5)</f>
        <v>-1.2895101851115056</v>
      </c>
      <c r="G4" s="12">
        <f t="shared" ref="G4:G6" si="0">NORMSDIST(F4)</f>
        <v>9.8610388881785194E-2</v>
      </c>
      <c r="H4" s="4"/>
      <c r="I4" s="3" t="s">
        <v>21</v>
      </c>
      <c r="J4" s="5">
        <f>G5-G4</f>
        <v>0.51245502610093985</v>
      </c>
    </row>
    <row r="5" spans="2:10" x14ac:dyDescent="0.3">
      <c r="B5" s="3" t="s">
        <v>3</v>
      </c>
      <c r="C5" s="5">
        <v>0.02</v>
      </c>
      <c r="E5" s="3" t="s">
        <v>13</v>
      </c>
      <c r="F5" s="4">
        <f>(LN(C10/$C$3)-($C$4-$C$5-($C$6^2)/2)*$C$7)/($C$6*$C$7^0.5)</f>
        <v>0.28209695236504123</v>
      </c>
      <c r="G5" s="5">
        <f t="shared" si="0"/>
        <v>0.61106541498272504</v>
      </c>
      <c r="H5" s="4"/>
      <c r="I5" s="3" t="s">
        <v>22</v>
      </c>
      <c r="J5" s="5">
        <f>G6-G5</f>
        <v>0.38299659945879228</v>
      </c>
    </row>
    <row r="6" spans="2:10" x14ac:dyDescent="0.3">
      <c r="B6" s="3" t="s">
        <v>4</v>
      </c>
      <c r="C6" s="5">
        <v>0.1</v>
      </c>
      <c r="E6" s="3" t="s">
        <v>14</v>
      </c>
      <c r="F6" s="4">
        <f>(LN(C11/$C$3)-($C$4-$C$5-($C$6^2)/2)*$C$7)/($C$6*$C$7^0.5)</f>
        <v>2.5158084405901793</v>
      </c>
      <c r="G6" s="5">
        <f t="shared" si="0"/>
        <v>0.99406201444151732</v>
      </c>
      <c r="H6" s="4"/>
      <c r="I6" s="3" t="s">
        <v>23</v>
      </c>
      <c r="J6" s="5">
        <f>G8-G7</f>
        <v>7.7225039945519769E-2</v>
      </c>
    </row>
    <row r="7" spans="2:10" ht="15.6" thickBot="1" x14ac:dyDescent="0.35">
      <c r="B7" s="3" t="s">
        <v>5</v>
      </c>
      <c r="C7" s="14">
        <v>0.08</v>
      </c>
      <c r="E7" s="3" t="s">
        <v>15</v>
      </c>
      <c r="F7" s="4">
        <f>(LN(C8/$C$3)-($C$4-$C$5+($C$6^2)/2)*$C$7)/($C$6*$C$7^0.5)</f>
        <v>-2.1305966680037747</v>
      </c>
      <c r="G7" s="5">
        <f>NORMSDIST(F7)</f>
        <v>1.65611921547003E-2</v>
      </c>
      <c r="H7" s="4"/>
      <c r="I7" s="6" t="s">
        <v>24</v>
      </c>
      <c r="J7" s="8">
        <f>G10-G9</f>
        <v>0.39338835240672843</v>
      </c>
    </row>
    <row r="8" spans="2:10" x14ac:dyDescent="0.3">
      <c r="B8" s="3" t="s">
        <v>6</v>
      </c>
      <c r="C8" s="5">
        <v>43</v>
      </c>
      <c r="E8" s="3" t="s">
        <v>16</v>
      </c>
      <c r="F8" s="4">
        <f>(LN(C9/$C$3)-($C$4-$C$5+($C$6^2)/2)*$C$7)/($C$6*$C$7^0.5)</f>
        <v>-1.3177944563589674</v>
      </c>
      <c r="G8" s="5">
        <f>NORMSDIST(F8)</f>
        <v>9.3786232100220066E-2</v>
      </c>
      <c r="H8" s="4"/>
      <c r="I8" s="4"/>
    </row>
    <row r="9" spans="2:10" ht="15.6" thickBot="1" x14ac:dyDescent="0.35">
      <c r="B9" s="3" t="s">
        <v>7</v>
      </c>
      <c r="C9" s="5">
        <v>44</v>
      </c>
      <c r="E9" s="3" t="s">
        <v>17</v>
      </c>
      <c r="F9" s="4">
        <f>(LN(C10/$C$3)-($C$4-$C$5+($C$6^2)/2)*$C$7)/($C$6*$C$7^0.5)</f>
        <v>0.25381268111757932</v>
      </c>
      <c r="G9" s="5">
        <f>NORMSDIST(F9)</f>
        <v>0.60017986196270035</v>
      </c>
      <c r="H9" s="4"/>
      <c r="I9" s="4"/>
    </row>
    <row r="10" spans="2:10" ht="15.6" thickBot="1" x14ac:dyDescent="0.35">
      <c r="B10" s="3" t="s">
        <v>8</v>
      </c>
      <c r="C10" s="5">
        <v>46</v>
      </c>
      <c r="E10" s="6" t="s">
        <v>18</v>
      </c>
      <c r="F10" s="7">
        <f>(LN(C11/$C$3)-($C$4-$C$5+($C$6^2)/2)*$C$7)/($C$6*$C$7^0.5)</f>
        <v>2.4875241693427173</v>
      </c>
      <c r="G10" s="8">
        <f>NORMSDIST(F10)</f>
        <v>0.99356821436942877</v>
      </c>
      <c r="H10" s="4"/>
      <c r="I10" s="13" t="s">
        <v>34</v>
      </c>
      <c r="J10" s="10">
        <f>C3*EXP((C4-C5)*C7)</f>
        <v>45.652688075734318</v>
      </c>
    </row>
    <row r="11" spans="2:10" ht="15.6" thickBot="1" x14ac:dyDescent="0.35">
      <c r="B11" s="6" t="s">
        <v>9</v>
      </c>
      <c r="C11" s="8">
        <v>49</v>
      </c>
      <c r="E11" s="4"/>
      <c r="F11" s="4"/>
      <c r="G11" s="4"/>
      <c r="H11" s="4"/>
      <c r="I11" s="4"/>
    </row>
    <row r="12" spans="2:10" x14ac:dyDescent="0.3">
      <c r="E12" s="4"/>
      <c r="F12" s="4"/>
      <c r="G12" s="4"/>
      <c r="H12" s="4"/>
      <c r="I12" s="4"/>
    </row>
    <row r="13" spans="2:10" ht="15.6" thickBot="1" x14ac:dyDescent="0.35"/>
    <row r="14" spans="2:10" ht="15.6" thickBot="1" x14ac:dyDescent="0.35">
      <c r="B14" s="9" t="s">
        <v>25</v>
      </c>
      <c r="C14" s="11"/>
      <c r="D14" s="11"/>
      <c r="E14" s="10"/>
    </row>
    <row r="15" spans="2:10" x14ac:dyDescent="0.3">
      <c r="B15" s="3" t="s">
        <v>26</v>
      </c>
      <c r="C15" s="4">
        <f>J10*J6</f>
        <v>3.5255306602689367</v>
      </c>
      <c r="D15" s="4" t="s">
        <v>28</v>
      </c>
      <c r="E15" s="5">
        <f>C15-C16</f>
        <v>4.9091204453120874E-2</v>
      </c>
    </row>
    <row r="16" spans="2:10" x14ac:dyDescent="0.3">
      <c r="B16" s="3" t="s">
        <v>27</v>
      </c>
      <c r="C16" s="4">
        <f>C8*J3</f>
        <v>3.4764394558158158</v>
      </c>
      <c r="D16" s="4" t="s">
        <v>29</v>
      </c>
      <c r="E16" s="5">
        <f>(C9-C8)*J4</f>
        <v>0.51245502610093985</v>
      </c>
    </row>
    <row r="17" spans="2:5" x14ac:dyDescent="0.3">
      <c r="B17" s="3" t="s">
        <v>31</v>
      </c>
      <c r="C17" s="4">
        <f>(C9-C8)*J5</f>
        <v>0.38299659945879228</v>
      </c>
      <c r="D17" s="4" t="s">
        <v>35</v>
      </c>
      <c r="E17" s="5">
        <f>C17+C18-C19</f>
        <v>0.26919920947646769</v>
      </c>
    </row>
    <row r="18" spans="2:5" x14ac:dyDescent="0.3">
      <c r="B18" s="3" t="s">
        <v>32</v>
      </c>
      <c r="C18" s="4">
        <f>C10*(C9-C8)/(C11-C10)*J5</f>
        <v>5.8726145250348152</v>
      </c>
      <c r="D18" s="4"/>
      <c r="E18" s="5"/>
    </row>
    <row r="19" spans="2:5" ht="15.6" thickBot="1" x14ac:dyDescent="0.35">
      <c r="B19" s="6" t="s">
        <v>33</v>
      </c>
      <c r="C19" s="7">
        <f>(C9-C8)/(C11-C10)*J10*J7</f>
        <v>5.9864119150171398</v>
      </c>
      <c r="D19" s="7"/>
      <c r="E19" s="8"/>
    </row>
    <row r="21" spans="2:5" ht="15.6" thickBot="1" x14ac:dyDescent="0.35"/>
    <row r="22" spans="2:5" ht="15.6" thickBot="1" x14ac:dyDescent="0.35">
      <c r="B22" s="9" t="s">
        <v>36</v>
      </c>
      <c r="C22" s="10">
        <f>(E15+E16+E17)*EXP(-C4*C7)</f>
        <v>0.81755928354539253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B1:F8"/>
  <sheetViews>
    <sheetView workbookViewId="0">
      <selection activeCell="J11" sqref="J11"/>
    </sheetView>
  </sheetViews>
  <sheetFormatPr defaultRowHeight="15" x14ac:dyDescent="0.3"/>
  <cols>
    <col min="6" max="6" width="9.625" bestFit="1" customWidth="1"/>
  </cols>
  <sheetData>
    <row r="1" spans="2:6" ht="15.6" thickBot="1" x14ac:dyDescent="0.35"/>
    <row r="2" spans="2:6" ht="15.6" thickBot="1" x14ac:dyDescent="0.35">
      <c r="B2" s="9" t="s">
        <v>0</v>
      </c>
      <c r="C2" s="10"/>
      <c r="E2" s="1" t="s">
        <v>38</v>
      </c>
      <c r="F2" s="2"/>
    </row>
    <row r="3" spans="2:6" x14ac:dyDescent="0.3">
      <c r="B3" s="3" t="s">
        <v>1</v>
      </c>
      <c r="C3" s="5">
        <v>42</v>
      </c>
      <c r="E3" s="3" t="s">
        <v>39</v>
      </c>
      <c r="F3" s="5">
        <f>(LN(C3/C8)+C7*(C4-C5+C6^2/2))/(C6*C7^0.5)</f>
        <v>-0.80860055501722938</v>
      </c>
    </row>
    <row r="4" spans="2:6" x14ac:dyDescent="0.3">
      <c r="B4" s="3" t="s">
        <v>2</v>
      </c>
      <c r="C4" s="5">
        <v>0.1</v>
      </c>
      <c r="E4" s="3" t="s">
        <v>40</v>
      </c>
      <c r="F4" s="5">
        <f>(LN(C3/C8)+C7*(C4-C5-C6^2/2))/(C6*C7^0.5)</f>
        <v>-0.95002191125453883</v>
      </c>
    </row>
    <row r="5" spans="2:6" x14ac:dyDescent="0.3">
      <c r="B5" s="3" t="s">
        <v>3</v>
      </c>
      <c r="C5" s="5">
        <v>0</v>
      </c>
      <c r="E5" s="15" t="s">
        <v>42</v>
      </c>
      <c r="F5" s="5">
        <f>NORMSDIST(F3)</f>
        <v>0.20937247272007356</v>
      </c>
    </row>
    <row r="6" spans="2:6" ht="15.6" thickBot="1" x14ac:dyDescent="0.35">
      <c r="B6" s="3" t="s">
        <v>4</v>
      </c>
      <c r="C6" s="5">
        <v>0.2</v>
      </c>
      <c r="E6" s="16" t="s">
        <v>43</v>
      </c>
      <c r="F6" s="8">
        <f>NORMSDIST(F4)</f>
        <v>0.17105055961376556</v>
      </c>
    </row>
    <row r="7" spans="2:6" ht="15.6" thickBot="1" x14ac:dyDescent="0.35">
      <c r="B7" s="3" t="s">
        <v>5</v>
      </c>
      <c r="C7" s="14">
        <v>0.5</v>
      </c>
    </row>
    <row r="8" spans="2:6" ht="15.6" thickBot="1" x14ac:dyDescent="0.35">
      <c r="B8" s="6" t="s">
        <v>37</v>
      </c>
      <c r="C8" s="8">
        <v>50</v>
      </c>
      <c r="E8" s="9" t="s">
        <v>41</v>
      </c>
      <c r="F8" s="10">
        <f>C3*EXP(-C5*C7)*F5-C8*EXP(-C4*C7)*F6</f>
        <v>0.65822758514672586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B1:J22"/>
  <sheetViews>
    <sheetView tabSelected="1" workbookViewId="0">
      <selection activeCell="C4" sqref="C4"/>
    </sheetView>
  </sheetViews>
  <sheetFormatPr defaultRowHeight="15" x14ac:dyDescent="0.3"/>
  <cols>
    <col min="1" max="2" width="11.375" bestFit="1" customWidth="1"/>
    <col min="3" max="3" width="12.75" bestFit="1" customWidth="1"/>
    <col min="4" max="4" width="6.875" customWidth="1"/>
    <col min="5" max="5" width="12.75" bestFit="1" customWidth="1"/>
    <col min="6" max="6" width="13.625" bestFit="1" customWidth="1"/>
    <col min="7" max="7" width="11.125" bestFit="1" customWidth="1"/>
    <col min="8" max="8" width="5.375" customWidth="1"/>
    <col min="9" max="10" width="12.75" bestFit="1" customWidth="1"/>
    <col min="11" max="11" width="12.5" bestFit="1" customWidth="1"/>
    <col min="12" max="12" width="13.375" bestFit="1" customWidth="1"/>
  </cols>
  <sheetData>
    <row r="1" spans="2:10" ht="15.6" thickBot="1" x14ac:dyDescent="0.35">
      <c r="H1" s="4"/>
      <c r="I1" s="4"/>
    </row>
    <row r="2" spans="2:10" ht="15.6" thickBot="1" x14ac:dyDescent="0.35">
      <c r="B2" s="9" t="s">
        <v>0</v>
      </c>
      <c r="C2" s="10"/>
      <c r="E2" s="9" t="s">
        <v>30</v>
      </c>
      <c r="F2" s="11"/>
      <c r="G2" s="10" t="s">
        <v>10</v>
      </c>
      <c r="H2" s="4"/>
      <c r="I2" s="9" t="s">
        <v>19</v>
      </c>
      <c r="J2" s="10"/>
    </row>
    <row r="3" spans="2:10" x14ac:dyDescent="0.3">
      <c r="B3" s="3" t="s">
        <v>1</v>
      </c>
      <c r="C3" s="5">
        <v>42</v>
      </c>
      <c r="E3" s="3" t="s">
        <v>11</v>
      </c>
      <c r="F3" s="4">
        <f>(LN(C8/$C$3)-($C$4-$C$5-($C$6^2)/2)*$C$7)/($C$6*$C$7^0.5)</f>
        <v>-0.62784127186872218</v>
      </c>
      <c r="G3" s="5">
        <f>NORMSDIST(F3)</f>
        <v>0.26505396315409141</v>
      </c>
      <c r="H3" s="4"/>
      <c r="I3" s="3" t="s">
        <v>20</v>
      </c>
      <c r="J3" s="5">
        <f>G4-G3</f>
        <v>0.73494603684590865</v>
      </c>
    </row>
    <row r="4" spans="2:10" x14ac:dyDescent="0.3">
      <c r="B4" s="3" t="s">
        <v>2</v>
      </c>
      <c r="C4" s="5">
        <v>0.1</v>
      </c>
      <c r="E4" s="3" t="s">
        <v>12</v>
      </c>
      <c r="F4" s="4">
        <f>(LN(C9/$C$3)-($C$4-$C$5-($C$6^2)/2)*$C$7)/($C$6*$C$7^0.5)</f>
        <v>87.259989304354605</v>
      </c>
      <c r="G4" s="12">
        <f t="shared" ref="G4:G6" si="0">NORMSDIST(F4)</f>
        <v>1</v>
      </c>
      <c r="H4" s="4"/>
      <c r="I4" s="3" t="s">
        <v>21</v>
      </c>
      <c r="J4" s="5">
        <f>G5-G4</f>
        <v>0</v>
      </c>
    </row>
    <row r="5" spans="2:10" x14ac:dyDescent="0.3">
      <c r="B5" s="3" t="s">
        <v>3</v>
      </c>
      <c r="C5" s="5">
        <v>0</v>
      </c>
      <c r="E5" s="3" t="s">
        <v>13</v>
      </c>
      <c r="F5" s="4">
        <f>(LN(C10/$C$3)-($C$4-$C$5-($C$6^2)/2)*$C$7)/($C$6*$C$7^0.5)</f>
        <v>87.259990011461355</v>
      </c>
      <c r="G5" s="5">
        <f t="shared" si="0"/>
        <v>1</v>
      </c>
      <c r="H5" s="4"/>
      <c r="I5" s="3" t="s">
        <v>44</v>
      </c>
      <c r="J5" s="5">
        <f>G6-G5</f>
        <v>0</v>
      </c>
    </row>
    <row r="6" spans="2:10" x14ac:dyDescent="0.3">
      <c r="B6" s="3" t="s">
        <v>4</v>
      </c>
      <c r="C6" s="5">
        <v>0.2</v>
      </c>
      <c r="E6" s="3" t="s">
        <v>14</v>
      </c>
      <c r="F6" s="4">
        <f>(LN(C11/$C$3)-($C$4-$C$5-($C$6^2)/2)*$C$7)/($C$6*$C$7^0.5)</f>
        <v>87.259990718568034</v>
      </c>
      <c r="G6" s="5">
        <f t="shared" si="0"/>
        <v>1</v>
      </c>
      <c r="H6" s="4"/>
      <c r="I6" s="3" t="s">
        <v>23</v>
      </c>
      <c r="J6" s="5">
        <f>G8-G7</f>
        <v>0.77913129094266897</v>
      </c>
    </row>
    <row r="7" spans="2:10" ht="15.6" thickBot="1" x14ac:dyDescent="0.35">
      <c r="B7" s="3" t="s">
        <v>5</v>
      </c>
      <c r="C7" s="14">
        <v>0.5</v>
      </c>
      <c r="E7" s="3" t="s">
        <v>15</v>
      </c>
      <c r="F7" s="4">
        <f>(LN(C8/$C$3)-($C$4-$C$5+($C$6^2)/2)*$C$7)/($C$6*$C$7^0.5)</f>
        <v>-0.76926262810603163</v>
      </c>
      <c r="G7" s="5">
        <f>NORMSDIST(F7)</f>
        <v>0.22086870905733103</v>
      </c>
      <c r="H7" s="4"/>
      <c r="I7" s="6" t="s">
        <v>24</v>
      </c>
      <c r="J7" s="8">
        <f>G10-G9</f>
        <v>0</v>
      </c>
    </row>
    <row r="8" spans="2:10" x14ac:dyDescent="0.3">
      <c r="B8" s="3" t="s">
        <v>6</v>
      </c>
      <c r="C8" s="5">
        <v>40</v>
      </c>
      <c r="E8" s="3" t="s">
        <v>16</v>
      </c>
      <c r="F8" s="4">
        <f>(LN(C9/$C$3)-($C$4-$C$5+($C$6^2)/2)*$C$7)/($C$6*$C$7^0.5)</f>
        <v>87.118567948117288</v>
      </c>
      <c r="G8" s="5">
        <f>NORMSDIST(F8)</f>
        <v>1</v>
      </c>
      <c r="H8" s="4"/>
      <c r="I8" s="4"/>
    </row>
    <row r="9" spans="2:10" ht="15.6" thickBot="1" x14ac:dyDescent="0.35">
      <c r="B9" s="3" t="s">
        <v>7</v>
      </c>
      <c r="C9" s="5">
        <v>10000000</v>
      </c>
      <c r="E9" s="3" t="s">
        <v>17</v>
      </c>
      <c r="F9" s="4">
        <f>(LN(C10/$C$3)-($C$4-$C$5+($C$6^2)/2)*$C$7)/($C$6*$C$7^0.5)</f>
        <v>87.118568655224038</v>
      </c>
      <c r="G9" s="5">
        <f>NORMSDIST(F9)</f>
        <v>1</v>
      </c>
      <c r="H9" s="4"/>
      <c r="I9" s="4"/>
    </row>
    <row r="10" spans="2:10" ht="15.6" thickBot="1" x14ac:dyDescent="0.35">
      <c r="B10" s="3" t="s">
        <v>8</v>
      </c>
      <c r="C10" s="5">
        <v>10000001</v>
      </c>
      <c r="E10" s="6" t="s">
        <v>18</v>
      </c>
      <c r="F10" s="7">
        <f>(LN(C11/$C$3)-($C$4-$C$5+($C$6^2)/2)*$C$7)/($C$6*$C$7^0.5)</f>
        <v>87.118569362330703</v>
      </c>
      <c r="G10" s="8">
        <f>NORMSDIST(F10)</f>
        <v>1</v>
      </c>
      <c r="H10" s="4"/>
      <c r="I10" s="13" t="s">
        <v>34</v>
      </c>
      <c r="J10" s="10">
        <f>C3*EXP((C4-C5)*C7)</f>
        <v>44.153386047793013</v>
      </c>
    </row>
    <row r="11" spans="2:10" ht="15.6" thickBot="1" x14ac:dyDescent="0.35">
      <c r="B11" s="6" t="s">
        <v>9</v>
      </c>
      <c r="C11" s="8">
        <v>10000002</v>
      </c>
      <c r="E11" s="4"/>
      <c r="F11">
        <f>LN(C8/C3)</f>
        <v>-4.8790164169432056E-2</v>
      </c>
      <c r="G11" s="4"/>
      <c r="H11" s="4"/>
      <c r="I11" s="4"/>
    </row>
    <row r="12" spans="2:10" x14ac:dyDescent="0.3">
      <c r="E12" s="4"/>
      <c r="F12" s="4">
        <f>($C$4-$C$5-($C$6^2)/2)*$C$7</f>
        <v>0.04</v>
      </c>
      <c r="G12" s="4"/>
      <c r="H12" s="4"/>
      <c r="I12" s="4"/>
    </row>
    <row r="13" spans="2:10" ht="15.6" thickBot="1" x14ac:dyDescent="0.35"/>
    <row r="14" spans="2:10" ht="15.6" thickBot="1" x14ac:dyDescent="0.35">
      <c r="B14" s="9" t="s">
        <v>25</v>
      </c>
      <c r="C14" s="11"/>
      <c r="D14" s="11"/>
      <c r="E14" s="10"/>
    </row>
    <row r="15" spans="2:10" x14ac:dyDescent="0.3">
      <c r="B15" s="3" t="s">
        <v>26</v>
      </c>
      <c r="C15" s="4">
        <f>J10*J6</f>
        <v>34.401284670906996</v>
      </c>
      <c r="D15" s="4" t="s">
        <v>28</v>
      </c>
      <c r="E15" s="5">
        <f>C15-C16</f>
        <v>5.0034431970706521</v>
      </c>
    </row>
    <row r="16" spans="2:10" x14ac:dyDescent="0.3">
      <c r="B16" s="3" t="s">
        <v>27</v>
      </c>
      <c r="C16" s="4">
        <f>C8*J3</f>
        <v>29.397841473836344</v>
      </c>
      <c r="D16" s="4" t="s">
        <v>29</v>
      </c>
      <c r="E16" s="5">
        <f>(C9-C8)*J4</f>
        <v>0</v>
      </c>
    </row>
    <row r="17" spans="2:5" x14ac:dyDescent="0.3">
      <c r="B17" s="3" t="s">
        <v>31</v>
      </c>
      <c r="C17" s="4">
        <f>(C9-C8)*J5</f>
        <v>0</v>
      </c>
      <c r="D17" s="4" t="s">
        <v>35</v>
      </c>
      <c r="E17" s="5">
        <f>C17+C18-C19</f>
        <v>0</v>
      </c>
    </row>
    <row r="18" spans="2:5" x14ac:dyDescent="0.3">
      <c r="B18" s="3" t="s">
        <v>32</v>
      </c>
      <c r="C18" s="4">
        <f>C10*(C9-C8)/(C11-C10)*J5</f>
        <v>0</v>
      </c>
      <c r="D18" s="4"/>
      <c r="E18" s="5"/>
    </row>
    <row r="19" spans="2:5" ht="15.6" thickBot="1" x14ac:dyDescent="0.35">
      <c r="B19" s="6" t="s">
        <v>33</v>
      </c>
      <c r="C19" s="7">
        <f>(C9-C8)/(C11-C10)*J10*J7</f>
        <v>0</v>
      </c>
      <c r="D19" s="7"/>
      <c r="E19" s="8"/>
    </row>
    <row r="21" spans="2:5" ht="15.6" thickBot="1" x14ac:dyDescent="0.35"/>
    <row r="22" spans="2:5" ht="15.6" thickBot="1" x14ac:dyDescent="0.35">
      <c r="B22" s="9" t="s">
        <v>36</v>
      </c>
      <c r="C22" s="10">
        <f>(E15+E16+E17)*EXP(-C4*C7)</f>
        <v>4.7594223928715289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Hw1</vt:lpstr>
      <vt:lpstr>Call</vt:lpstr>
      <vt:lpstr>checkByCall_1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2020-04-28T17:15:45Z</dcterms:modified>
</cp:coreProperties>
</file>