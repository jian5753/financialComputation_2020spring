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1" l="1"/>
  <c r="H1" i="1"/>
  <c r="M3" i="1"/>
  <c r="N3" i="1" s="1"/>
  <c r="I8" i="1"/>
  <c r="I7" i="1"/>
  <c r="H7" i="1"/>
  <c r="H6" i="1"/>
  <c r="I6" i="1"/>
  <c r="G6" i="1"/>
  <c r="I5" i="1"/>
  <c r="H5" i="1"/>
  <c r="G5" i="1"/>
  <c r="F5" i="1"/>
  <c r="D8" i="1"/>
  <c r="D7" i="1"/>
  <c r="D6" i="1"/>
  <c r="D5" i="1"/>
  <c r="C7" i="1"/>
  <c r="C6" i="1"/>
  <c r="C5" i="1"/>
  <c r="B6" i="1"/>
  <c r="B5" i="1"/>
  <c r="E2" i="1"/>
</calcChain>
</file>

<file path=xl/sharedStrings.xml><?xml version="1.0" encoding="utf-8"?>
<sst xmlns="http://schemas.openxmlformats.org/spreadsheetml/2006/main" count="16" uniqueCount="16">
  <si>
    <t>u</t>
    <phoneticPr fontId="1" type="noConversion"/>
  </si>
  <si>
    <t>d</t>
    <phoneticPr fontId="1" type="noConversion"/>
  </si>
  <si>
    <t>p</t>
    <phoneticPr fontId="1" type="noConversion"/>
  </si>
  <si>
    <t>q</t>
    <phoneticPr fontId="1" type="noConversion"/>
  </si>
  <si>
    <t>St</t>
    <phoneticPr fontId="1" type="noConversion"/>
  </si>
  <si>
    <t>Amax</t>
    <phoneticPr fontId="1" type="noConversion"/>
  </si>
  <si>
    <t>deltaRemainT</t>
    <phoneticPr fontId="1" type="noConversion"/>
  </si>
  <si>
    <t>deltaDsctFac</t>
    <phoneticPr fontId="1" type="noConversion"/>
  </si>
  <si>
    <t>r</t>
    <phoneticPr fontId="1" type="noConversion"/>
  </si>
  <si>
    <t>[5.876052018349662,</t>
  </si>
  <si>
    <t xml:space="preserve"> 3.9452564858035313,</t>
  </si>
  <si>
    <t xml:space="preserve"> 3.818919534790459,</t>
  </si>
  <si>
    <t xml:space="preserve"> 3.8007443596811283,</t>
  </si>
  <si>
    <t xml:space="preserve"> 3.793391957548243,</t>
  </si>
  <si>
    <t xml:space="preserve"> 3.7890619250748254,</t>
  </si>
  <si>
    <t xml:space="preserve"> 3.7869343852221227]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</si>
</sst>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Var(--jp-code-font-family)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K11" sqref="K11"/>
    </sheetView>
  </sheetViews>
  <sheetFormatPr defaultRowHeight="15"/>
  <cols>
    <col min="2" max="2" width="10.25" bestFit="1" customWidth="1"/>
    <col min="7" max="7" width="9.625" bestFit="1" customWidth="1"/>
  </cols>
  <sheetData>
    <row r="1" spans="1:14">
      <c r="A1" t="s">
        <v>0</v>
      </c>
      <c r="B1">
        <v>1.17738904855139</v>
      </c>
      <c r="D1" t="s">
        <v>2</v>
      </c>
      <c r="E1">
        <v>0.51049632323452498</v>
      </c>
      <c r="G1" t="s">
        <v>6</v>
      </c>
      <c r="H1">
        <f>0.166666666666</f>
        <v>0.166666666666</v>
      </c>
      <c r="I1" t="s">
        <v>7</v>
      </c>
      <c r="J1">
        <f>EXP(-H2*H1)</f>
        <v>0.98347145382168311</v>
      </c>
    </row>
    <row r="2" spans="1:14">
      <c r="A2" t="s">
        <v>1</v>
      </c>
      <c r="B2">
        <v>0.84933693007451705</v>
      </c>
      <c r="D2" t="s">
        <v>3</v>
      </c>
      <c r="E2">
        <f>1-E1</f>
        <v>0.48950367676547502</v>
      </c>
      <c r="G2" t="s">
        <v>8</v>
      </c>
      <c r="H2">
        <v>0.1</v>
      </c>
    </row>
    <row r="3" spans="1:14">
      <c r="K3">
        <v>14.947295860000001</v>
      </c>
      <c r="L3">
        <v>9.2627880000000005</v>
      </c>
      <c r="M3">
        <f>K3*E1+L3*E2</f>
        <v>12.164708361927758</v>
      </c>
      <c r="N3">
        <f>M3*J1</f>
        <v>11.963643418021878</v>
      </c>
    </row>
    <row r="4" spans="1:14">
      <c r="A4" t="s">
        <v>4</v>
      </c>
      <c r="F4" t="s">
        <v>5</v>
      </c>
    </row>
    <row r="5" spans="1:14">
      <c r="A5">
        <v>50</v>
      </c>
      <c r="B5">
        <f>A5*$B$1</f>
        <v>58.869452427569499</v>
      </c>
      <c r="C5">
        <f>B5*$B$1</f>
        <v>69.312248582437377</v>
      </c>
      <c r="D5">
        <f>C5*$B$1</f>
        <v>81.607482411433381</v>
      </c>
      <c r="F5">
        <f>A5</f>
        <v>50</v>
      </c>
      <c r="G5">
        <f>AVERAGE($A$5:B5)</f>
        <v>54.434726213784749</v>
      </c>
      <c r="H5">
        <f>AVERAGE($A$5:C5)</f>
        <v>59.393900336668956</v>
      </c>
      <c r="I5">
        <f>AVERAGE($A$5:D5)</f>
        <v>64.947295855360068</v>
      </c>
      <c r="K5" s="1" t="s">
        <v>9</v>
      </c>
    </row>
    <row r="6" spans="1:14">
      <c r="B6">
        <f>A5*$B$2</f>
        <v>42.466846503725854</v>
      </c>
      <c r="C6">
        <f>B5*$B$2</f>
        <v>49.999999999999702</v>
      </c>
      <c r="D6">
        <f>C5*$B$2</f>
        <v>58.869452427569158</v>
      </c>
      <c r="G6">
        <f>AVERAGE(A5,B6)</f>
        <v>46.233423251862931</v>
      </c>
      <c r="H6">
        <f>AVERAGE($A$5:B5,C6)</f>
        <v>52.956484142523067</v>
      </c>
      <c r="I6">
        <f>AVERAGE($A$5:C5,D6)</f>
        <v>59.262788359394008</v>
      </c>
      <c r="K6" s="1" t="s">
        <v>10</v>
      </c>
    </row>
    <row r="7" spans="1:14">
      <c r="C7">
        <f>B6*$B$2</f>
        <v>36.068661039420256</v>
      </c>
      <c r="D7">
        <f>C6*$B$2</f>
        <v>42.466846503725598</v>
      </c>
      <c r="H7">
        <f>AVERAGE(A5,B6,C7)</f>
        <v>42.845169181048703</v>
      </c>
      <c r="I7">
        <f>AVERAGE(A5,B6,C7,D7)</f>
        <v>42.750588511717929</v>
      </c>
      <c r="K7" s="1" t="s">
        <v>11</v>
      </c>
    </row>
    <row r="8" spans="1:14">
      <c r="D8">
        <f>C7*$B$2</f>
        <v>30.63444583911954</v>
      </c>
      <c r="I8">
        <f>AVERAGE(A5,C7,B6,D8)</f>
        <v>39.792488345566412</v>
      </c>
      <c r="K8" s="1" t="s">
        <v>12</v>
      </c>
    </row>
    <row r="9" spans="1:14">
      <c r="K9" s="1" t="s">
        <v>13</v>
      </c>
    </row>
    <row r="10" spans="1:14">
      <c r="K10" s="1" t="s">
        <v>14</v>
      </c>
    </row>
    <row r="11" spans="1:14">
      <c r="K11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2020-06-21T10:38:54Z</dcterms:modified>
</cp:coreProperties>
</file>